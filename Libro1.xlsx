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power\Downloads\"/>
    </mc:Choice>
  </mc:AlternateContent>
  <xr:revisionPtr revIDLastSave="0" documentId="8_{DC37C93F-8485-40FB-97F2-54A5F1A844F7}" xr6:coauthVersionLast="47" xr6:coauthVersionMax="47" xr10:uidLastSave="{00000000-0000-0000-0000-000000000000}"/>
  <bookViews>
    <workbookView xWindow="-108" yWindow="-108" windowWidth="23256" windowHeight="12456" xr2:uid="{78D633BB-DCF8-44BE-96F9-2F535C045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2" i="1" l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F44" i="1"/>
  <c r="F36" i="1"/>
  <c r="F28" i="1"/>
  <c r="F19" i="1"/>
  <c r="F11" i="1"/>
  <c r="F5" i="1"/>
  <c r="F4" i="1"/>
  <c r="E2" i="1"/>
  <c r="C1" i="1"/>
</calcChain>
</file>

<file path=xl/sharedStrings.xml><?xml version="1.0" encoding="utf-8"?>
<sst xmlns="http://schemas.openxmlformats.org/spreadsheetml/2006/main" count="214" uniqueCount="157">
  <si>
    <t>AVANCE</t>
  </si>
  <si>
    <t>FALTA</t>
  </si>
  <si>
    <t>DIAS HABILES</t>
  </si>
  <si>
    <t>DIAS TRANSCURRIDOS</t>
  </si>
  <si>
    <t>CUOTA</t>
  </si>
  <si>
    <t xml:space="preserve">JEFATURA TR1 AYGAS </t>
  </si>
  <si>
    <t>CARTERA</t>
  </si>
  <si>
    <t>TR34</t>
  </si>
  <si>
    <t>TR12</t>
  </si>
  <si>
    <t>ST. MAY. AYGAS</t>
  </si>
  <si>
    <t>SPV VACANTE</t>
  </si>
  <si>
    <t>TR3431</t>
  </si>
  <si>
    <t>TR1231</t>
  </si>
  <si>
    <t>RV. ABASTO</t>
  </si>
  <si>
    <t>Rocio Medina</t>
  </si>
  <si>
    <t>T</t>
  </si>
  <si>
    <t>TR3432</t>
  </si>
  <si>
    <t>TR1232</t>
  </si>
  <si>
    <t xml:space="preserve">RV. MERCADO 4 </t>
  </si>
  <si>
    <t>Vacante</t>
  </si>
  <si>
    <t>TR3433</t>
  </si>
  <si>
    <t>TR1233</t>
  </si>
  <si>
    <t>RV. MERCADO SAN LORENZO</t>
  </si>
  <si>
    <t>Ramona Benitez</t>
  </si>
  <si>
    <t>TR1234</t>
  </si>
  <si>
    <t>RV. CENTRO/MERCADO LUQUE</t>
  </si>
  <si>
    <t>Yohana Palacios</t>
  </si>
  <si>
    <t>TR1201</t>
  </si>
  <si>
    <t>LICITACIONES-NANAWA</t>
  </si>
  <si>
    <t>TR55</t>
  </si>
  <si>
    <t>TR13</t>
  </si>
  <si>
    <t>ST. GAS CENTRO</t>
  </si>
  <si>
    <t>SPV FELIX SEGOVIA</t>
  </si>
  <si>
    <t>TR5521</t>
  </si>
  <si>
    <t>TR1331</t>
  </si>
  <si>
    <t>VD. ASUNCION</t>
  </si>
  <si>
    <t>Kevin Peralta</t>
  </si>
  <si>
    <t>TR5532</t>
  </si>
  <si>
    <t>TR1332</t>
  </si>
  <si>
    <t>VD. ASU VILLA MORRA</t>
  </si>
  <si>
    <t>Miguel Carreras</t>
  </si>
  <si>
    <t>TR5536</t>
  </si>
  <si>
    <t>TR1334</t>
  </si>
  <si>
    <t>VD.FDM</t>
  </si>
  <si>
    <t>Sofia Gonzalez</t>
  </si>
  <si>
    <t>TR5534</t>
  </si>
  <si>
    <t>TR1335</t>
  </si>
  <si>
    <t>VD. LAMBARE - VE</t>
  </si>
  <si>
    <t>TR5621</t>
  </si>
  <si>
    <t>TR1336</t>
  </si>
  <si>
    <t>VD. VILLA ELISA/SAN ANTONIO</t>
  </si>
  <si>
    <t>Santiago Fernandez</t>
  </si>
  <si>
    <t>TR5624</t>
  </si>
  <si>
    <t>TR1337</t>
  </si>
  <si>
    <t>VD.ÑEMBY</t>
  </si>
  <si>
    <t>Juan Silvano</t>
  </si>
  <si>
    <t>TR5535</t>
  </si>
  <si>
    <t>TR1338</t>
  </si>
  <si>
    <t>VD.SAN LORENZO</t>
  </si>
  <si>
    <t>Erikson Samaniego</t>
  </si>
  <si>
    <t>TR15</t>
  </si>
  <si>
    <t>ST. GAS ITAUGUA/ITA</t>
  </si>
  <si>
    <t>TR1531</t>
  </si>
  <si>
    <t>RV. VILLETA-Guarambare</t>
  </si>
  <si>
    <t>Erick Yegros</t>
  </si>
  <si>
    <t>TR1532</t>
  </si>
  <si>
    <t>VD.YPANE</t>
  </si>
  <si>
    <t>Sergio Benitez</t>
  </si>
  <si>
    <t>TR1533</t>
  </si>
  <si>
    <t>VD. ZONAL J.A SALDIVAR</t>
  </si>
  <si>
    <t>TR1534</t>
  </si>
  <si>
    <t xml:space="preserve">RV. ITA </t>
  </si>
  <si>
    <t>Francisco Leiva</t>
  </si>
  <si>
    <t>TR1535</t>
  </si>
  <si>
    <t>VD. YPACARAI</t>
  </si>
  <si>
    <t>TR1536</t>
  </si>
  <si>
    <t>VD. ITAUGUA</t>
  </si>
  <si>
    <t>Maria Romero</t>
  </si>
  <si>
    <t>TR1537</t>
  </si>
  <si>
    <t>VD.CAPIATA</t>
  </si>
  <si>
    <t>Ruben Medina</t>
  </si>
  <si>
    <t>TR1538</t>
  </si>
  <si>
    <t>VD. AREGUA-LUQUE</t>
  </si>
  <si>
    <t>Juan Benitez</t>
  </si>
  <si>
    <t>TR16</t>
  </si>
  <si>
    <t>ST. CAACUPE</t>
  </si>
  <si>
    <t>SPV DIEGO GARCIA</t>
  </si>
  <si>
    <t>TR1621</t>
  </si>
  <si>
    <t>PV. SUPER CAACUPE</t>
  </si>
  <si>
    <t>Lorena Mendez</t>
  </si>
  <si>
    <t>M</t>
  </si>
  <si>
    <t>TR1632</t>
  </si>
  <si>
    <t>VD. ZONAL CAACUPE</t>
  </si>
  <si>
    <t>Tommy Gimenez</t>
  </si>
  <si>
    <t>TR1633</t>
  </si>
  <si>
    <t>RV. SANBER</t>
  </si>
  <si>
    <t>Ruth Vera</t>
  </si>
  <si>
    <t>TR1634</t>
  </si>
  <si>
    <t>RV. ALTOS/ATYRA</t>
  </si>
  <si>
    <t>Maribel Reyes</t>
  </si>
  <si>
    <t>TR1635</t>
  </si>
  <si>
    <t>RV. TOBATI</t>
  </si>
  <si>
    <t>Maria Gonzalez</t>
  </si>
  <si>
    <t>TR1637</t>
  </si>
  <si>
    <t>RV. EUSEBIO AYALIA</t>
  </si>
  <si>
    <t>TR1638</t>
  </si>
  <si>
    <t>VD. CARAGUATAY</t>
  </si>
  <si>
    <t>TR17</t>
  </si>
  <si>
    <t>ST. GAS NORTE</t>
  </si>
  <si>
    <t>SPV JORGE GONZALEZ</t>
  </si>
  <si>
    <t>TM2312</t>
  </si>
  <si>
    <t>PV.LIMPIO</t>
  </si>
  <si>
    <t>Elva Palacios</t>
  </si>
  <si>
    <t>TR1731</t>
  </si>
  <si>
    <t>VD. MRA</t>
  </si>
  <si>
    <t>TR1732</t>
  </si>
  <si>
    <t>RV.  LIMPIO</t>
  </si>
  <si>
    <t>Kevin Monges</t>
  </si>
  <si>
    <t>TR1733</t>
  </si>
  <si>
    <t>RV. EMBOSCADA</t>
  </si>
  <si>
    <t>TR1734</t>
  </si>
  <si>
    <t>RV. ARROYOS ESTEROS</t>
  </si>
  <si>
    <t>Josefina Acosta</t>
  </si>
  <si>
    <t>TR1735</t>
  </si>
  <si>
    <t>RV. VILLA HAYES/REMAN.</t>
  </si>
  <si>
    <t>TR1737</t>
  </si>
  <si>
    <t>RV. BENJAMIN ACEVAL</t>
  </si>
  <si>
    <t>Ingrid Castro</t>
  </si>
  <si>
    <t>TR18</t>
  </si>
  <si>
    <t>ST. PARAGUARI</t>
  </si>
  <si>
    <t>SPV MARIA LIZ GALEANO</t>
  </si>
  <si>
    <t>TR1821</t>
  </si>
  <si>
    <t>PV. SUPER PARAGUARI</t>
  </si>
  <si>
    <t>Lorenzo Vazquez</t>
  </si>
  <si>
    <t>TR1832</t>
  </si>
  <si>
    <t>VD. ZONAL PARAGUARI</t>
  </si>
  <si>
    <t>TR1834</t>
  </si>
  <si>
    <t xml:space="preserve">RV. YAGUARON </t>
  </si>
  <si>
    <t>Laura Agüero</t>
  </si>
  <si>
    <t>TR1836</t>
  </si>
  <si>
    <t>RV. PIRIBEBUY</t>
  </si>
  <si>
    <t>Rosa Ferreira</t>
  </si>
  <si>
    <t>TR1839</t>
  </si>
  <si>
    <t>VD. VALENZUELA</t>
  </si>
  <si>
    <t>TR1931</t>
  </si>
  <si>
    <t>RV. CARAPEGUA</t>
  </si>
  <si>
    <t>Nery Pintos</t>
  </si>
  <si>
    <t>TR1932</t>
  </si>
  <si>
    <t>VD. QUINDY</t>
  </si>
  <si>
    <t>Adan Sosa</t>
  </si>
  <si>
    <t>TR1933</t>
  </si>
  <si>
    <t>VD. YBYCUI/ACAHAY</t>
  </si>
  <si>
    <t>Luis Galeano</t>
  </si>
  <si>
    <t>TR1934</t>
  </si>
  <si>
    <t>VD. LA COLMENA</t>
  </si>
  <si>
    <t>David Morales</t>
  </si>
  <si>
    <t>VISITAS PROPIAS DEL SUPERVISOR (cargar acá) — se suman al equipo en la fila del 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</si>
</sst>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charset val="1"/>
    </font>
    <font>
      <b/>
      <sz val="9"/>
      <color theme="1"/>
      <name val="Aptos Narrow"/>
      <family val="2"/>
      <charset val="1"/>
    </font>
    <font>
      <b/>
      <sz val="9"/>
      <color rgb="FFFFFFFF"/>
      <name val="Calibri"/>
      <family val="2"/>
      <charset val="1"/>
    </font>
    <font>
      <b/>
      <sz val="9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9"/>
      <color theme="0"/>
      <name val="Aptos Narrow"/>
      <family val="2"/>
      <charset val="1"/>
    </font>
    <font>
      <sz val="9"/>
      <name val="Aptos Narrow"/>
      <family val="2"/>
      <charset val="1"/>
    </font>
    <font>
      <sz val="9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3F7FC"/>
      </patternFill>
    </fill>
    <fill>
      <patternFill patternType="solid">
        <fgColor rgb="FFFFFF00"/>
        <bgColor rgb="FFFFC000"/>
      </patternFill>
    </fill>
    <fill>
      <patternFill patternType="solid">
        <fgColor rgb="FF0070C0"/>
        <bgColor rgb="FF2F5597"/>
      </patternFill>
    </fill>
    <fill>
      <patternFill patternType="solid">
        <fgColor rgb="FFFFC000"/>
        <bgColor rgb="FFF2AA84"/>
      </patternFill>
    </fill>
    <fill>
      <patternFill patternType="solid">
        <fgColor theme="3" tint="0.49977111117893003"/>
        <bgColor rgb="FF0F9ED5"/>
      </patternFill>
    </fill>
    <fill>
      <patternFill patternType="solid">
        <fgColor theme="3"/>
        <bgColor rgb="FF0B3041"/>
      </patternFill>
    </fill>
    <fill>
      <patternFill patternType="solid">
        <fgColor theme="7" tint="0.79979857783745845"/>
        <bgColor rgb="FFDCEA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6"/>
        <bgColor rgb="FF00703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0" fontId="1" fillId="6" borderId="3" xfId="0" applyFont="1" applyFill="1" applyBorder="1"/>
    <xf numFmtId="0" fontId="5" fillId="4" borderId="3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3" fontId="5" fillId="4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3" fontId="5" fillId="7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3" fontId="1" fillId="9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/>
    </xf>
    <xf numFmtId="3" fontId="8" fillId="10" borderId="1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3" fontId="1" fillId="10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E6EA-23C6-48EB-921F-EDD3B77CEE78}">
  <dimension ref="A1:F64"/>
  <sheetViews>
    <sheetView tabSelected="1" topLeftCell="B1" workbookViewId="0">
      <selection activeCell="M6" sqref="M6"/>
    </sheetView>
  </sheetViews>
  <sheetFormatPr baseColWidth="10" defaultColWidth="11.33203125" defaultRowHeight="14.4" outlineLevelRow="1" x14ac:dyDescent="0.3"/>
  <cols>
    <col min="1" max="1" width="6.88671875" style="1" hidden="1" customWidth="1"/>
    <col min="2" max="2" width="16.88671875" style="1" customWidth="1"/>
    <col min="3" max="3" width="25" style="1" customWidth="1"/>
    <col min="4" max="4" width="18" style="1" customWidth="1"/>
    <col min="5" max="5" width="8.33203125" style="47" customWidth="1"/>
    <col min="6" max="6" width="12.77734375" style="1" customWidth="1"/>
  </cols>
  <sheetData>
    <row r="1" spans="1:6" ht="12" customHeight="1" x14ac:dyDescent="0.3">
      <c r="B1" s="2" t="s">
        <v>0</v>
      </c>
      <c r="C1" s="3">
        <f>+C3/C2</f>
        <v>0.72727272727272729</v>
      </c>
      <c r="D1" s="3"/>
      <c r="E1" s="4" t="s">
        <v>1</v>
      </c>
      <c r="F1" s="5"/>
    </row>
    <row r="2" spans="1:6" ht="30" customHeight="1" x14ac:dyDescent="0.3">
      <c r="B2" s="2" t="s">
        <v>2</v>
      </c>
      <c r="C2" s="2">
        <v>22</v>
      </c>
      <c r="D2" s="2"/>
      <c r="E2" s="4">
        <f>+C2-C3</f>
        <v>6</v>
      </c>
      <c r="F2" s="7"/>
    </row>
    <row r="3" spans="1:6" ht="30" customHeight="1" x14ac:dyDescent="0.3">
      <c r="B3" s="2" t="s">
        <v>3</v>
      </c>
      <c r="C3" s="2">
        <v>16</v>
      </c>
      <c r="D3" s="2"/>
      <c r="E3" s="2"/>
      <c r="F3" s="8" t="s">
        <v>4</v>
      </c>
    </row>
    <row r="4" spans="1:6" ht="14.25" customHeight="1" x14ac:dyDescent="0.3">
      <c r="B4" s="9"/>
      <c r="C4" s="10" t="s">
        <v>5</v>
      </c>
      <c r="D4" s="11"/>
      <c r="E4" s="12" t="s">
        <v>6</v>
      </c>
      <c r="F4" s="13">
        <f>SUM(F5,F11,F19,F28,F36,F44)</f>
        <v>1882400000</v>
      </c>
    </row>
    <row r="5" spans="1:6" ht="14.25" customHeight="1" x14ac:dyDescent="0.3">
      <c r="A5" s="1" t="s">
        <v>7</v>
      </c>
      <c r="B5" s="14" t="s">
        <v>8</v>
      </c>
      <c r="C5" s="15" t="s">
        <v>9</v>
      </c>
      <c r="D5" s="14" t="s">
        <v>10</v>
      </c>
      <c r="E5" s="14"/>
      <c r="F5" s="16">
        <f>+SUM(F6:F10)</f>
        <v>370700000</v>
      </c>
    </row>
    <row r="6" spans="1:6" ht="14.25" customHeight="1" outlineLevel="1" x14ac:dyDescent="0.3">
      <c r="A6" s="1" t="s">
        <v>11</v>
      </c>
      <c r="B6" s="17" t="s">
        <v>12</v>
      </c>
      <c r="C6" s="18" t="s">
        <v>13</v>
      </c>
      <c r="D6" s="19" t="s">
        <v>14</v>
      </c>
      <c r="E6" s="20" t="s">
        <v>15</v>
      </c>
      <c r="F6" s="21">
        <v>134100000</v>
      </c>
    </row>
    <row r="7" spans="1:6" ht="14.25" customHeight="1" outlineLevel="1" x14ac:dyDescent="0.3">
      <c r="A7" s="1" t="s">
        <v>16</v>
      </c>
      <c r="B7" s="23" t="s">
        <v>17</v>
      </c>
      <c r="C7" s="24" t="s">
        <v>18</v>
      </c>
      <c r="D7" s="23" t="s">
        <v>19</v>
      </c>
      <c r="E7" s="20" t="s">
        <v>15</v>
      </c>
      <c r="F7" s="25">
        <v>91000000</v>
      </c>
    </row>
    <row r="8" spans="1:6" ht="14.25" customHeight="1" outlineLevel="1" x14ac:dyDescent="0.3">
      <c r="A8" s="1" t="s">
        <v>20</v>
      </c>
      <c r="B8" s="26" t="s">
        <v>21</v>
      </c>
      <c r="C8" s="27" t="s">
        <v>22</v>
      </c>
      <c r="D8" s="28" t="s">
        <v>23</v>
      </c>
      <c r="E8" s="20" t="s">
        <v>15</v>
      </c>
      <c r="F8" s="21">
        <v>64000000</v>
      </c>
    </row>
    <row r="9" spans="1:6" ht="14.25" customHeight="1" outlineLevel="1" x14ac:dyDescent="0.3">
      <c r="B9" s="26" t="s">
        <v>24</v>
      </c>
      <c r="C9" s="27" t="s">
        <v>25</v>
      </c>
      <c r="D9" s="29" t="s">
        <v>26</v>
      </c>
      <c r="E9" s="20" t="s">
        <v>15</v>
      </c>
      <c r="F9" s="21">
        <v>62200000</v>
      </c>
    </row>
    <row r="10" spans="1:6" ht="14.25" customHeight="1" outlineLevel="1" x14ac:dyDescent="0.3">
      <c r="B10" s="17" t="s">
        <v>27</v>
      </c>
      <c r="C10" s="18" t="s">
        <v>28</v>
      </c>
      <c r="D10" s="19"/>
      <c r="E10" s="20" t="s">
        <v>15</v>
      </c>
      <c r="F10" s="21">
        <v>19400000</v>
      </c>
    </row>
    <row r="11" spans="1:6" ht="14.25" customHeight="1" x14ac:dyDescent="0.3">
      <c r="A11" s="1" t="s">
        <v>29</v>
      </c>
      <c r="B11" s="14" t="s">
        <v>30</v>
      </c>
      <c r="C11" s="15" t="s">
        <v>31</v>
      </c>
      <c r="D11" s="14" t="s">
        <v>32</v>
      </c>
      <c r="E11" s="20" t="s">
        <v>15</v>
      </c>
      <c r="F11" s="16">
        <f>+SUM(F12:F18)</f>
        <v>235200000</v>
      </c>
    </row>
    <row r="12" spans="1:6" ht="14.25" customHeight="1" outlineLevel="1" x14ac:dyDescent="0.3">
      <c r="A12" s="1" t="s">
        <v>33</v>
      </c>
      <c r="B12" s="19" t="s">
        <v>34</v>
      </c>
      <c r="C12" s="30" t="s">
        <v>35</v>
      </c>
      <c r="D12" s="19" t="s">
        <v>36</v>
      </c>
      <c r="E12" s="20" t="s">
        <v>15</v>
      </c>
      <c r="F12" s="21">
        <v>33500000</v>
      </c>
    </row>
    <row r="13" spans="1:6" ht="14.25" customHeight="1" outlineLevel="1" x14ac:dyDescent="0.3">
      <c r="A13" s="1" t="s">
        <v>37</v>
      </c>
      <c r="B13" s="17" t="s">
        <v>38</v>
      </c>
      <c r="C13" s="18" t="s">
        <v>39</v>
      </c>
      <c r="D13" s="19" t="s">
        <v>40</v>
      </c>
      <c r="E13" s="20" t="s">
        <v>15</v>
      </c>
      <c r="F13" s="21">
        <v>33500000</v>
      </c>
    </row>
    <row r="14" spans="1:6" ht="14.25" customHeight="1" outlineLevel="1" x14ac:dyDescent="0.3">
      <c r="A14" s="1" t="s">
        <v>41</v>
      </c>
      <c r="B14" s="31" t="s">
        <v>42</v>
      </c>
      <c r="C14" s="32" t="s">
        <v>43</v>
      </c>
      <c r="D14" s="33" t="s">
        <v>44</v>
      </c>
      <c r="E14" s="20" t="s">
        <v>15</v>
      </c>
      <c r="F14" s="34">
        <v>28800000</v>
      </c>
    </row>
    <row r="15" spans="1:6" ht="14.25" customHeight="1" outlineLevel="1" x14ac:dyDescent="0.3">
      <c r="A15" s="1" t="s">
        <v>45</v>
      </c>
      <c r="B15" s="23" t="s">
        <v>46</v>
      </c>
      <c r="C15" s="24" t="s">
        <v>47</v>
      </c>
      <c r="D15" s="23" t="s">
        <v>19</v>
      </c>
      <c r="E15" s="20" t="s">
        <v>15</v>
      </c>
      <c r="F15" s="35">
        <v>25000000</v>
      </c>
    </row>
    <row r="16" spans="1:6" ht="14.25" customHeight="1" outlineLevel="1" x14ac:dyDescent="0.3">
      <c r="A16" s="1" t="s">
        <v>48</v>
      </c>
      <c r="B16" s="17" t="s">
        <v>49</v>
      </c>
      <c r="C16" s="18" t="s">
        <v>50</v>
      </c>
      <c r="D16" s="19" t="s">
        <v>51</v>
      </c>
      <c r="E16" s="20" t="s">
        <v>15</v>
      </c>
      <c r="F16" s="21">
        <v>31100000</v>
      </c>
    </row>
    <row r="17" spans="1:6" ht="14.25" customHeight="1" outlineLevel="1" x14ac:dyDescent="0.3">
      <c r="A17" s="1" t="s">
        <v>52</v>
      </c>
      <c r="B17" s="17" t="s">
        <v>53</v>
      </c>
      <c r="C17" s="18" t="s">
        <v>54</v>
      </c>
      <c r="D17" s="28" t="s">
        <v>55</v>
      </c>
      <c r="E17" s="20" t="s">
        <v>15</v>
      </c>
      <c r="F17" s="21">
        <v>50000000</v>
      </c>
    </row>
    <row r="18" spans="1:6" ht="14.25" customHeight="1" outlineLevel="1" x14ac:dyDescent="0.3">
      <c r="A18" s="1" t="s">
        <v>56</v>
      </c>
      <c r="B18" s="33" t="s">
        <v>57</v>
      </c>
      <c r="C18" s="36" t="s">
        <v>58</v>
      </c>
      <c r="D18" s="33" t="s">
        <v>59</v>
      </c>
      <c r="E18" s="20" t="s">
        <v>15</v>
      </c>
      <c r="F18" s="21">
        <v>33300000</v>
      </c>
    </row>
    <row r="19" spans="1:6" ht="14.25" customHeight="1" x14ac:dyDescent="0.3">
      <c r="B19" s="14" t="s">
        <v>60</v>
      </c>
      <c r="C19" s="15" t="s">
        <v>61</v>
      </c>
      <c r="D19" s="14" t="s">
        <v>10</v>
      </c>
      <c r="E19" s="20" t="s">
        <v>15</v>
      </c>
      <c r="F19" s="16">
        <f>+SUM(F20:F27)</f>
        <v>295800000</v>
      </c>
    </row>
    <row r="20" spans="1:6" ht="14.25" customHeight="1" outlineLevel="1" x14ac:dyDescent="0.3">
      <c r="B20" s="26" t="s">
        <v>62</v>
      </c>
      <c r="C20" s="27" t="s">
        <v>63</v>
      </c>
      <c r="D20" s="28" t="s">
        <v>64</v>
      </c>
      <c r="E20" s="20" t="s">
        <v>15</v>
      </c>
      <c r="F20" s="22">
        <v>41000000</v>
      </c>
    </row>
    <row r="21" spans="1:6" ht="14.25" customHeight="1" outlineLevel="1" x14ac:dyDescent="0.3">
      <c r="B21" s="19" t="s">
        <v>65</v>
      </c>
      <c r="C21" s="30" t="s">
        <v>66</v>
      </c>
      <c r="D21" s="19" t="s">
        <v>67</v>
      </c>
      <c r="E21" s="20" t="s">
        <v>15</v>
      </c>
      <c r="F21" s="22">
        <v>28900000</v>
      </c>
    </row>
    <row r="22" spans="1:6" ht="14.25" customHeight="1" outlineLevel="1" x14ac:dyDescent="0.3">
      <c r="B22" s="38" t="s">
        <v>68</v>
      </c>
      <c r="C22" s="39" t="s">
        <v>69</v>
      </c>
      <c r="D22" s="23" t="s">
        <v>19</v>
      </c>
      <c r="E22" s="20" t="s">
        <v>15</v>
      </c>
      <c r="F22" s="25">
        <v>32000000</v>
      </c>
    </row>
    <row r="23" spans="1:6" ht="14.25" customHeight="1" outlineLevel="1" x14ac:dyDescent="0.3">
      <c r="B23" s="17" t="s">
        <v>70</v>
      </c>
      <c r="C23" s="18" t="s">
        <v>71</v>
      </c>
      <c r="D23" s="19" t="s">
        <v>72</v>
      </c>
      <c r="E23" s="20" t="s">
        <v>15</v>
      </c>
      <c r="F23" s="22">
        <v>69200000</v>
      </c>
    </row>
    <row r="24" spans="1:6" ht="14.25" customHeight="1" outlineLevel="1" x14ac:dyDescent="0.3">
      <c r="B24" s="23" t="s">
        <v>73</v>
      </c>
      <c r="C24" s="24" t="s">
        <v>74</v>
      </c>
      <c r="D24" s="23" t="s">
        <v>19</v>
      </c>
      <c r="E24" s="20" t="s">
        <v>15</v>
      </c>
      <c r="F24" s="37">
        <v>30700000</v>
      </c>
    </row>
    <row r="25" spans="1:6" ht="14.25" customHeight="1" outlineLevel="1" x14ac:dyDescent="0.3">
      <c r="B25" s="17" t="s">
        <v>75</v>
      </c>
      <c r="C25" s="18" t="s">
        <v>76</v>
      </c>
      <c r="D25" s="28" t="s">
        <v>77</v>
      </c>
      <c r="E25" s="20" t="s">
        <v>15</v>
      </c>
      <c r="F25" s="21">
        <v>32000000</v>
      </c>
    </row>
    <row r="26" spans="1:6" ht="14.25" customHeight="1" outlineLevel="1" x14ac:dyDescent="0.3">
      <c r="B26" s="17" t="s">
        <v>78</v>
      </c>
      <c r="C26" s="18" t="s">
        <v>79</v>
      </c>
      <c r="D26" s="19" t="s">
        <v>80</v>
      </c>
      <c r="E26" s="20" t="s">
        <v>15</v>
      </c>
      <c r="F26" s="22">
        <v>31700000</v>
      </c>
    </row>
    <row r="27" spans="1:6" ht="14.25" customHeight="1" outlineLevel="1" x14ac:dyDescent="0.3">
      <c r="B27" s="31" t="s">
        <v>81</v>
      </c>
      <c r="C27" s="32" t="s">
        <v>82</v>
      </c>
      <c r="D27" s="33" t="s">
        <v>83</v>
      </c>
      <c r="E27" s="20" t="s">
        <v>15</v>
      </c>
      <c r="F27" s="40">
        <v>30300000</v>
      </c>
    </row>
    <row r="28" spans="1:6" ht="14.25" customHeight="1" x14ac:dyDescent="0.3">
      <c r="B28" s="14" t="s">
        <v>84</v>
      </c>
      <c r="C28" s="15" t="s">
        <v>85</v>
      </c>
      <c r="D28" s="14" t="s">
        <v>86</v>
      </c>
      <c r="E28" s="20" t="s">
        <v>15</v>
      </c>
      <c r="F28" s="16">
        <f>+SUM(F29:F35)</f>
        <v>261700000</v>
      </c>
    </row>
    <row r="29" spans="1:6" ht="14.25" customHeight="1" outlineLevel="1" x14ac:dyDescent="0.3">
      <c r="B29" s="17" t="s">
        <v>87</v>
      </c>
      <c r="C29" s="18" t="s">
        <v>88</v>
      </c>
      <c r="D29" s="19" t="s">
        <v>89</v>
      </c>
      <c r="E29" s="41" t="s">
        <v>90</v>
      </c>
      <c r="F29" s="21">
        <v>49700000</v>
      </c>
    </row>
    <row r="30" spans="1:6" ht="14.25" customHeight="1" outlineLevel="1" x14ac:dyDescent="0.3">
      <c r="B30" s="29" t="s">
        <v>91</v>
      </c>
      <c r="C30" s="42" t="s">
        <v>92</v>
      </c>
      <c r="D30" s="29" t="s">
        <v>93</v>
      </c>
      <c r="E30" s="20" t="s">
        <v>15</v>
      </c>
      <c r="F30" s="21">
        <v>33500000</v>
      </c>
    </row>
    <row r="31" spans="1:6" ht="14.25" customHeight="1" outlineLevel="1" x14ac:dyDescent="0.3">
      <c r="B31" s="29" t="s">
        <v>94</v>
      </c>
      <c r="C31" s="42" t="s">
        <v>95</v>
      </c>
      <c r="D31" s="29" t="s">
        <v>96</v>
      </c>
      <c r="E31" s="20" t="s">
        <v>15</v>
      </c>
      <c r="F31" s="21">
        <v>31700000</v>
      </c>
    </row>
    <row r="32" spans="1:6" ht="14.25" customHeight="1" outlineLevel="1" x14ac:dyDescent="0.3">
      <c r="B32" s="17" t="s">
        <v>97</v>
      </c>
      <c r="C32" s="18" t="s">
        <v>98</v>
      </c>
      <c r="D32" s="19" t="s">
        <v>99</v>
      </c>
      <c r="E32" s="20" t="s">
        <v>15</v>
      </c>
      <c r="F32" s="21">
        <v>41600000</v>
      </c>
    </row>
    <row r="33" spans="2:6" ht="14.25" customHeight="1" outlineLevel="1" x14ac:dyDescent="0.3">
      <c r="B33" s="17" t="s">
        <v>100</v>
      </c>
      <c r="C33" s="18" t="s">
        <v>101</v>
      </c>
      <c r="D33" s="19" t="s">
        <v>102</v>
      </c>
      <c r="E33" s="20" t="s">
        <v>15</v>
      </c>
      <c r="F33" s="21">
        <v>40000000</v>
      </c>
    </row>
    <row r="34" spans="2:6" ht="14.25" customHeight="1" outlineLevel="1" x14ac:dyDescent="0.3">
      <c r="B34" s="43" t="s">
        <v>103</v>
      </c>
      <c r="C34" s="44" t="s">
        <v>104</v>
      </c>
      <c r="D34" s="23" t="s">
        <v>19</v>
      </c>
      <c r="E34" s="20" t="s">
        <v>15</v>
      </c>
      <c r="F34" s="37">
        <v>32900000</v>
      </c>
    </row>
    <row r="35" spans="2:6" ht="14.25" customHeight="1" outlineLevel="1" x14ac:dyDescent="0.3">
      <c r="B35" s="43" t="s">
        <v>105</v>
      </c>
      <c r="C35" s="44" t="s">
        <v>106</v>
      </c>
      <c r="D35" s="23" t="s">
        <v>19</v>
      </c>
      <c r="E35" s="20" t="s">
        <v>15</v>
      </c>
      <c r="F35" s="37">
        <v>32300000</v>
      </c>
    </row>
    <row r="36" spans="2:6" ht="14.25" customHeight="1" x14ac:dyDescent="0.3">
      <c r="B36" s="14" t="s">
        <v>107</v>
      </c>
      <c r="C36" s="15" t="s">
        <v>108</v>
      </c>
      <c r="D36" s="14" t="s">
        <v>109</v>
      </c>
      <c r="E36" s="20" t="s">
        <v>15</v>
      </c>
      <c r="F36" s="16">
        <f>SUM(F38:F43)+159500000</f>
        <v>336500000</v>
      </c>
    </row>
    <row r="37" spans="2:6" ht="14.25" customHeight="1" outlineLevel="1" x14ac:dyDescent="0.3">
      <c r="B37" s="17" t="s">
        <v>110</v>
      </c>
      <c r="C37" s="18" t="s">
        <v>111</v>
      </c>
      <c r="D37" s="28" t="s">
        <v>112</v>
      </c>
      <c r="E37" s="20" t="s">
        <v>15</v>
      </c>
      <c r="F37" s="21">
        <v>160000000</v>
      </c>
    </row>
    <row r="38" spans="2:6" ht="14.25" customHeight="1" outlineLevel="1" x14ac:dyDescent="0.3">
      <c r="B38" s="43" t="s">
        <v>113</v>
      </c>
      <c r="C38" s="44" t="s">
        <v>114</v>
      </c>
      <c r="D38" s="23" t="s">
        <v>19</v>
      </c>
      <c r="E38" s="20" t="s">
        <v>15</v>
      </c>
      <c r="F38" s="35">
        <v>25000000</v>
      </c>
    </row>
    <row r="39" spans="2:6" ht="14.25" customHeight="1" outlineLevel="1" x14ac:dyDescent="0.3">
      <c r="B39" s="17" t="s">
        <v>115</v>
      </c>
      <c r="C39" s="18" t="s">
        <v>116</v>
      </c>
      <c r="D39" s="28" t="s">
        <v>117</v>
      </c>
      <c r="E39" s="20" t="s">
        <v>15</v>
      </c>
      <c r="F39" s="21">
        <v>32000000</v>
      </c>
    </row>
    <row r="40" spans="2:6" ht="14.25" customHeight="1" outlineLevel="1" x14ac:dyDescent="0.3">
      <c r="B40" s="23" t="s">
        <v>118</v>
      </c>
      <c r="C40" s="24" t="s">
        <v>119</v>
      </c>
      <c r="D40" s="23" t="s">
        <v>19</v>
      </c>
      <c r="E40" s="41" t="s">
        <v>90</v>
      </c>
      <c r="F40" s="35">
        <v>25000000</v>
      </c>
    </row>
    <row r="41" spans="2:6" ht="14.25" customHeight="1" outlineLevel="1" x14ac:dyDescent="0.3">
      <c r="B41" s="17" t="s">
        <v>120</v>
      </c>
      <c r="C41" s="18" t="s">
        <v>121</v>
      </c>
      <c r="D41" s="19" t="s">
        <v>122</v>
      </c>
      <c r="E41" s="20" t="s">
        <v>15</v>
      </c>
      <c r="F41" s="21">
        <v>45000000</v>
      </c>
    </row>
    <row r="42" spans="2:6" ht="14.25" customHeight="1" outlineLevel="1" x14ac:dyDescent="0.3">
      <c r="B42" s="38" t="s">
        <v>123</v>
      </c>
      <c r="C42" s="39" t="s">
        <v>124</v>
      </c>
      <c r="D42" s="23" t="s">
        <v>19</v>
      </c>
      <c r="E42" s="20" t="s">
        <v>15</v>
      </c>
      <c r="F42" s="21">
        <v>25000000</v>
      </c>
    </row>
    <row r="43" spans="2:6" ht="14.25" customHeight="1" outlineLevel="1" x14ac:dyDescent="0.3">
      <c r="B43" s="28" t="s">
        <v>125</v>
      </c>
      <c r="C43" s="45" t="s">
        <v>126</v>
      </c>
      <c r="D43" s="28" t="s">
        <v>127</v>
      </c>
      <c r="E43" s="41" t="s">
        <v>90</v>
      </c>
      <c r="F43" s="21">
        <v>25000000</v>
      </c>
    </row>
    <row r="44" spans="2:6" ht="14.25" customHeight="1" x14ac:dyDescent="0.3">
      <c r="B44" s="14" t="s">
        <v>128</v>
      </c>
      <c r="C44" s="15" t="s">
        <v>129</v>
      </c>
      <c r="D44" s="14" t="s">
        <v>130</v>
      </c>
      <c r="E44" s="20" t="s">
        <v>15</v>
      </c>
      <c r="F44" s="16">
        <f>SUM(F45:F53)</f>
        <v>382500000</v>
      </c>
    </row>
    <row r="45" spans="2:6" ht="14.25" customHeight="1" outlineLevel="1" x14ac:dyDescent="0.3">
      <c r="B45" s="17" t="s">
        <v>131</v>
      </c>
      <c r="C45" s="18" t="s">
        <v>132</v>
      </c>
      <c r="D45" s="28" t="s">
        <v>133</v>
      </c>
      <c r="E45" s="41" t="s">
        <v>90</v>
      </c>
      <c r="F45" s="21">
        <v>67200000</v>
      </c>
    </row>
    <row r="46" spans="2:6" ht="14.25" customHeight="1" outlineLevel="1" x14ac:dyDescent="0.3">
      <c r="B46" s="43" t="s">
        <v>134</v>
      </c>
      <c r="C46" s="44" t="s">
        <v>135</v>
      </c>
      <c r="D46" s="23" t="s">
        <v>19</v>
      </c>
      <c r="E46" s="20" t="s">
        <v>15</v>
      </c>
      <c r="F46" s="35">
        <v>33400000</v>
      </c>
    </row>
    <row r="47" spans="2:6" ht="14.25" customHeight="1" outlineLevel="1" x14ac:dyDescent="0.3">
      <c r="B47" s="17" t="s">
        <v>136</v>
      </c>
      <c r="C47" s="18" t="s">
        <v>137</v>
      </c>
      <c r="D47" s="19" t="s">
        <v>138</v>
      </c>
      <c r="E47" s="20" t="s">
        <v>15</v>
      </c>
      <c r="F47" s="21">
        <v>43400000</v>
      </c>
    </row>
    <row r="48" spans="2:6" ht="14.25" customHeight="1" outlineLevel="1" x14ac:dyDescent="0.3">
      <c r="B48" s="26" t="s">
        <v>139</v>
      </c>
      <c r="C48" s="27" t="s">
        <v>140</v>
      </c>
      <c r="D48" s="28" t="s">
        <v>141</v>
      </c>
      <c r="E48" s="20" t="s">
        <v>15</v>
      </c>
      <c r="F48" s="21">
        <v>43200000</v>
      </c>
    </row>
    <row r="49" spans="2:6" ht="14.25" customHeight="1" outlineLevel="1" x14ac:dyDescent="0.3">
      <c r="B49" s="43" t="s">
        <v>142</v>
      </c>
      <c r="C49" s="44" t="s">
        <v>143</v>
      </c>
      <c r="D49" s="23" t="s">
        <v>19</v>
      </c>
      <c r="E49" s="41" t="s">
        <v>90</v>
      </c>
      <c r="F49" s="35">
        <v>28400000</v>
      </c>
    </row>
    <row r="50" spans="2:6" ht="14.25" customHeight="1" outlineLevel="1" x14ac:dyDescent="0.3">
      <c r="B50" s="17" t="s">
        <v>144</v>
      </c>
      <c r="C50" s="18" t="s">
        <v>145</v>
      </c>
      <c r="D50" s="19" t="s">
        <v>146</v>
      </c>
      <c r="E50" s="20" t="s">
        <v>15</v>
      </c>
      <c r="F50" s="21">
        <v>60500000</v>
      </c>
    </row>
    <row r="51" spans="2:6" ht="14.25" customHeight="1" outlineLevel="1" x14ac:dyDescent="0.3">
      <c r="B51" s="17" t="s">
        <v>147</v>
      </c>
      <c r="C51" s="18" t="s">
        <v>148</v>
      </c>
      <c r="D51" s="29" t="s">
        <v>149</v>
      </c>
      <c r="E51" s="20" t="s">
        <v>15</v>
      </c>
      <c r="F51" s="21">
        <v>39800000</v>
      </c>
    </row>
    <row r="52" spans="2:6" ht="14.25" customHeight="1" outlineLevel="1" x14ac:dyDescent="0.3">
      <c r="B52" s="17" t="s">
        <v>150</v>
      </c>
      <c r="C52" s="18" t="s">
        <v>151</v>
      </c>
      <c r="D52" s="28" t="s">
        <v>152</v>
      </c>
      <c r="E52" s="41" t="s">
        <v>90</v>
      </c>
      <c r="F52" s="21">
        <v>33900000</v>
      </c>
    </row>
    <row r="53" spans="2:6" ht="18" customHeight="1" outlineLevel="1" x14ac:dyDescent="0.3">
      <c r="B53" s="17" t="s">
        <v>153</v>
      </c>
      <c r="C53" s="18" t="s">
        <v>154</v>
      </c>
      <c r="D53" s="28" t="s">
        <v>155</v>
      </c>
      <c r="E53" s="41" t="s">
        <v>90</v>
      </c>
      <c r="F53" s="21">
        <v>32700000</v>
      </c>
    </row>
    <row r="54" spans="2:6" ht="18" hidden="1" customHeight="1" x14ac:dyDescent="0.3">
      <c r="B54" s="5"/>
      <c r="C54" s="5"/>
      <c r="D54" s="5"/>
      <c r="E54" s="6"/>
      <c r="F54" s="5"/>
    </row>
    <row r="55" spans="2:6" ht="14.25" hidden="1" customHeight="1" x14ac:dyDescent="0.3">
      <c r="B55" s="5"/>
      <c r="C55" s="5"/>
      <c r="D55" s="5"/>
      <c r="E55" s="6"/>
      <c r="F55" s="5"/>
    </row>
    <row r="56" spans="2:6" ht="14.25" hidden="1" customHeight="1" x14ac:dyDescent="0.3">
      <c r="B56" s="46" t="s">
        <v>156</v>
      </c>
      <c r="C56" s="5"/>
      <c r="D56" s="5"/>
      <c r="E56" s="6"/>
      <c r="F56" s="5"/>
    </row>
    <row r="57" spans="2:6" ht="14.25" hidden="1" customHeight="1" x14ac:dyDescent="0.3">
      <c r="B57" s="14" t="str">
        <f>B5</f>
        <v>TR12</v>
      </c>
      <c r="C57" s="14" t="str">
        <f>C5</f>
        <v>ST. MAY. AYGAS</v>
      </c>
      <c r="D57" s="14" t="str">
        <f>D5</f>
        <v>SPV VACANTE</v>
      </c>
      <c r="E57" s="6"/>
      <c r="F57" s="5"/>
    </row>
    <row r="58" spans="2:6" ht="14.25" hidden="1" customHeight="1" x14ac:dyDescent="0.3">
      <c r="B58" s="14" t="str">
        <f>B11</f>
        <v>TR13</v>
      </c>
      <c r="C58" s="14" t="str">
        <f>C11</f>
        <v>ST. GAS CENTRO</v>
      </c>
      <c r="D58" s="14" t="str">
        <f>D11</f>
        <v>SPV FELIX SEGOVIA</v>
      </c>
      <c r="E58" s="6"/>
      <c r="F58" s="5"/>
    </row>
    <row r="59" spans="2:6" ht="14.25" hidden="1" customHeight="1" x14ac:dyDescent="0.3">
      <c r="B59" s="14" t="str">
        <f>B19</f>
        <v>TR15</v>
      </c>
      <c r="C59" s="14" t="str">
        <f>C19</f>
        <v>ST. GAS ITAUGUA/ITA</v>
      </c>
      <c r="D59" s="14" t="str">
        <f>D19</f>
        <v>SPV VACANTE</v>
      </c>
      <c r="E59" s="6"/>
      <c r="F59" s="5"/>
    </row>
    <row r="60" spans="2:6" ht="14.25" hidden="1" customHeight="1" x14ac:dyDescent="0.3">
      <c r="B60" s="14" t="str">
        <f>B28</f>
        <v>TR16</v>
      </c>
      <c r="C60" s="14" t="str">
        <f>C28</f>
        <v>ST. CAACUPE</v>
      </c>
      <c r="D60" s="14" t="str">
        <f>D28</f>
        <v>SPV DIEGO GARCIA</v>
      </c>
      <c r="E60" s="6"/>
      <c r="F60" s="5"/>
    </row>
    <row r="61" spans="2:6" ht="14.25" hidden="1" customHeight="1" x14ac:dyDescent="0.3">
      <c r="B61" s="14" t="str">
        <f>B36</f>
        <v>TR17</v>
      </c>
      <c r="C61" s="14" t="str">
        <f>C36</f>
        <v>ST. GAS NORTE</v>
      </c>
      <c r="D61" s="14" t="str">
        <f>D36</f>
        <v>SPV JORGE GONZALEZ</v>
      </c>
      <c r="E61" s="6"/>
      <c r="F61" s="5"/>
    </row>
    <row r="62" spans="2:6" ht="14.25" hidden="1" customHeight="1" x14ac:dyDescent="0.3">
      <c r="B62" s="14" t="str">
        <f>B44</f>
        <v>TR18</v>
      </c>
      <c r="C62" s="14" t="str">
        <f>C44</f>
        <v>ST. PARAGUARI</v>
      </c>
      <c r="D62" s="14" t="str">
        <f>D44</f>
        <v>SPV MARIA LIZ GALEANO</v>
      </c>
      <c r="E62" s="6"/>
      <c r="F62" s="5"/>
    </row>
    <row r="63" spans="2:6" ht="14.25" hidden="1" customHeight="1" x14ac:dyDescent="0.3"/>
    <row r="64" spans="2:6" ht="14.25" hidden="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Apolo</dc:creator>
  <cp:lastModifiedBy>Apolo</cp:lastModifiedBy>
  <dcterms:created xsi:type="dcterms:W3CDTF">2026-10-23T18:04:21Z</dcterms:created>
  <dcterms:modified xsi:type="dcterms:W3CDTF">2026-10-23T18:04:52Z</dcterms:modified>
</cp:coreProperties>
</file>